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74CAA890-0C9E-4F18-A257-4241D5A102A1}" xr6:coauthVersionLast="47" xr6:coauthVersionMax="47" xr10:uidLastSave="{00000000-0000-0000-0000-000000000000}"/>
  <bookViews>
    <workbookView xWindow="-120" yWindow="-120" windowWidth="20730" windowHeight="11160" xr2:uid="{AA3C1E50-38F1-6644-B051-514CE6CAA6A2}"/>
  </bookViews>
  <sheets>
    <sheet name="Data" sheetId="1" r:id="rId1"/>
    <sheet name="Analyze" sheetId="5" r:id="rId2"/>
    <sheet name="Dashboard" sheetId="6" r:id="rId3"/>
  </sheets>
  <definedNames>
    <definedName name="Slicer_Region">#N/A</definedName>
    <definedName name="Slicer_Years__Invoice_Date">#N/A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5" l="1"/>
  <c r="G34" i="5"/>
  <c r="H34" i="5"/>
  <c r="I34" i="5"/>
  <c r="G35" i="5"/>
  <c r="H35" i="5"/>
  <c r="I35" i="5"/>
  <c r="G36" i="5"/>
  <c r="H36" i="5"/>
  <c r="I36" i="5"/>
  <c r="F37" i="5"/>
  <c r="G37" i="5"/>
  <c r="H37" i="5"/>
  <c r="I37" i="5"/>
  <c r="G38" i="5"/>
  <c r="H38" i="5"/>
  <c r="I38" i="5"/>
  <c r="G39" i="5"/>
  <c r="H39" i="5"/>
  <c r="I39" i="5"/>
  <c r="G40" i="5"/>
  <c r="H40" i="5"/>
  <c r="I40" i="5"/>
  <c r="I33" i="5"/>
  <c r="G33" i="5"/>
  <c r="H33" i="5"/>
  <c r="I13" i="6"/>
  <c r="J13" i="6"/>
  <c r="I14" i="6"/>
  <c r="J14" i="6"/>
  <c r="I15" i="6"/>
  <c r="J15" i="6"/>
  <c r="K15" i="6" s="1"/>
  <c r="I16" i="6"/>
  <c r="J16" i="6"/>
  <c r="K16" i="6" s="1"/>
  <c r="I17" i="6"/>
  <c r="J17" i="6"/>
  <c r="I18" i="6"/>
  <c r="J18" i="6"/>
  <c r="K18" i="6" s="1"/>
  <c r="H14" i="6"/>
  <c r="H15" i="6"/>
  <c r="H16" i="6"/>
  <c r="H17" i="6"/>
  <c r="H18" i="6"/>
  <c r="H13" i="6"/>
  <c r="E19" i="6"/>
  <c r="D13" i="6"/>
  <c r="E13" i="6"/>
  <c r="D14" i="6"/>
  <c r="E14" i="6"/>
  <c r="D15" i="6"/>
  <c r="E15" i="6"/>
  <c r="D16" i="6"/>
  <c r="E16" i="6"/>
  <c r="D17" i="6"/>
  <c r="E17" i="6"/>
  <c r="F17" i="6" s="1"/>
  <c r="D18" i="6"/>
  <c r="E18" i="6"/>
  <c r="F18" i="6" s="1"/>
  <c r="C14" i="6"/>
  <c r="C15" i="6"/>
  <c r="C16" i="6"/>
  <c r="C17" i="6"/>
  <c r="C18" i="6"/>
  <c r="C13" i="6"/>
  <c r="F14" i="6" l="1"/>
  <c r="F16" i="6"/>
  <c r="K17" i="6"/>
  <c r="K14" i="6"/>
  <c r="F15" i="6"/>
  <c r="F13" i="6"/>
  <c r="I19" i="6"/>
  <c r="D19" i="6"/>
  <c r="F19" i="6" s="1"/>
  <c r="K13" i="6"/>
  <c r="J19" i="6"/>
  <c r="K19" i="6" s="1"/>
</calcChain>
</file>

<file path=xl/sharedStrings.xml><?xml version="1.0" encoding="utf-8"?>
<sst xmlns="http://schemas.openxmlformats.org/spreadsheetml/2006/main" count="48313" uniqueCount="156">
  <si>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</si>
  <si>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</si>
  <si>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</si>
  <si>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</si>
  <si>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</si>
  <si>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</si>
  <si>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</si>
  <si>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</si>
  <si>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</si>
  <si>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</si>
  <si>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</si>
  <si>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</si>
  <si>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</si>
  <si>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</si>
  <si>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</si>
  <si>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</si>
  <si>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</si>
  <si>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</si>
  <si>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</si>
  <si>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</si>
  <si>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</si>
  <si>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</si>
  <si>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</si>
  <si>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</si>
  <si>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</si>
  <si>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</si>
  <si>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</si>
  <si>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</si>
  <si>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</si>
  <si>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</si>
  <si>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</si>
  <si>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</si>
  <si>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</si>
  <si>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</si>
  <si>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</si>
  <si>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</si>
  <si>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</si>
  <si>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</si>
  <si>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</si>
  <si>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</si>
  <si>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</si>
  <si>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</si>
  <si>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</si>
  <si>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</si>
  <si>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</si>
  <si>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</si>
  <si>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</si>
  <si>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</si>
  <si>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</si>
  <si>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</si>
  <si>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</si>
  <si>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</si>
  <si>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</si>
  <si>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</si>
  <si>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</si>
  <si>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</si>
  <si>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</si>
  <si>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</si>
  <si>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</si>
  <si>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</si>
  <si>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</si>
  <si>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</si>
  <si>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</si>
  <si>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</si>
  <si>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</si>
  <si>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</si>
  <si>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</si>
  <si>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</si>
  <si>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</si>
  <si>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</si>
  <si>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</si>
  <si>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</si>
  <si>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</si>
  <si>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</si>
  <si>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</si>
  <si>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</si>
  <si>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</si>
  <si>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</si>
  <si>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</si>
  <si>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</si>
  <si>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</si>
  <si>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</si>
  <si>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</si>
  <si>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</si>
  <si>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</si>
  <si>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</si>
  <si>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</si>
  <si>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</si>
  <si>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</si>
  <si>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</si>
  <si>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</si>
  <si>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</si>
  <si>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</si>
  <si>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</si>
  <si>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</si>
  <si>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</si>
  <si>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</si>
  <si>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</si>
  <si>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</si>
  <si>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</si>
  <si>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</si>
  <si>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</si>
  <si>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</si>
  <si>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</si>
  <si>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</si>
  <si>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</si>
  <si>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</si>
  <si>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</si>
  <si>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</si>
  <si>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</si>
  <si>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</si>
  <si>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</si>
  <si>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</si>
  <si>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</si>
  <si>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</si>
  <si>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</si>
  <si>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</si>
  <si>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</si>
  <si>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</si>
  <si>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</si>
  <si>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</si>
  <si>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</si>
  <si>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</si>
  <si>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</si>
  <si>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</si>
  <si>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</si>
  <si>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</si>
  <si>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</si>
  <si>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</si>
  <si>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</si>
  <si>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</si>
  <si>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Beraverage Brands</t>
  </si>
  <si>
    <t>Seler by Retailer</t>
  </si>
  <si>
    <t>Brand</t>
  </si>
  <si>
    <t>Sales 2023</t>
  </si>
  <si>
    <t>Sales 2022</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</si>
  <si>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</si>
  <si>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</si>
  <si>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</si>
  <si>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</si>
  <si>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</si>
  <si>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</si>
  <si>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</si>
  <si>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</si>
  <si>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</si>
  <si>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</si>
  <si>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</si>
  <si>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Beverage</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</si>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</sst>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8" formatCode="[$$-45C]#,##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rgb="FF073673"/>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8"/>
        <bgColor indexed="64"/>
      </patternFill>
    </fill>
    <fill>
      <patternFill patternType="solid">
        <fgColor rgb="FFFFFF99"/>
        <bgColor indexed="64"/>
      </patternFill>
    </fill>
  </fills>
  <borders count="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3" borderId="0" xfId="0" applyFont="1" applyFill="1"/>
    <xf numFmtId="0" fontId="2" fillId="3" borderId="0" xfId="0" applyFont="1" applyFill="1" applyAlignment="1">
      <alignment horizontal="center"/>
    </xf>
    <xf numFmtId="0" fontId="2" fillId="4" borderId="0" xfId="0" applyFont="1" applyFill="1" applyAlignment="1">
      <alignment horizontal="center" vertical="center"/>
    </xf>
    <xf numFmtId="0" fontId="2" fillId="3" borderId="0" xfId="0" applyFont="1" applyFill="1" applyAlignment="1">
      <alignment horizontal="centerContinuous"/>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5" borderId="2" xfId="0" applyFill="1" applyBorder="1"/>
    <xf numFmtId="3" fontId="0" fillId="5" borderId="3" xfId="0" applyNumberFormat="1" applyFill="1" applyBorder="1"/>
    <xf numFmtId="3" fontId="0" fillId="5" borderId="4" xfId="0" applyNumberFormat="1" applyFill="1" applyBorder="1"/>
    <xf numFmtId="168" fontId="0" fillId="0" borderId="0" xfId="0" applyNumberFormat="1"/>
    <xf numFmtId="0" fontId="0" fillId="0" borderId="0" xfId="0" applyAlignment="1"/>
  </cellXfs>
  <cellStyles count="2">
    <cellStyle name="Hyperlink 2" xfId="1" xr:uid="{229837FD-7C70-47AC-B854-CBC5538B0B97}"/>
    <cellStyle name="Normal" xfId="0" builtinId="0"/>
  </cellStyles>
  <dxfs count="17">
    <dxf>
      <numFmt numFmtId="3" formatCode="#,##0"/>
    </dxf>
    <dxf>
      <numFmt numFmtId="168" formatCode="[$$-45C]#,##0.0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color rgb="FF017379"/>
      <color rgb="FF2F46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col"/>
        <c:grouping val="clustered"/>
        <c:varyColors val="0"/>
        <c:ser>
          <c:idx val="0"/>
          <c:order val="0"/>
          <c:tx>
            <c:v>Sales</c:v>
          </c:tx>
          <c:spPr>
            <a:solidFill>
              <a:srgbClr val="073673"/>
            </a:solidFill>
            <a:ln>
              <a:solidFill>
                <a:srgbClr val="073673"/>
              </a:solidFill>
            </a:ln>
            <a:effectLst/>
          </c:spPr>
          <c:invertIfNegative val="0"/>
          <c:cat>
            <c:multiLvlStrRef>
              <c:f>Analyze!$F$33:$G$40</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Analyze!$H$33:$H$40</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6E07-48A8-9F95-3C53FFC2C622}"/>
            </c:ext>
          </c:extLst>
        </c:ser>
        <c:dLbls>
          <c:showLegendKey val="0"/>
          <c:showVal val="0"/>
          <c:showCatName val="0"/>
          <c:showSerName val="0"/>
          <c:showPercent val="0"/>
          <c:showBubbleSize val="0"/>
        </c:dLbls>
        <c:gapWidth val="219"/>
        <c:axId val="1925180704"/>
        <c:axId val="1925195584"/>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12700">
                <a:solidFill>
                  <a:srgbClr val="C00000"/>
                </a:solidFill>
              </a:ln>
              <a:effectLst/>
            </c:spPr>
          </c:marker>
          <c:cat>
            <c:multiLvlStrRef>
              <c:f>Analyze!$F$33:$G$40</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Analyze!$I$33:$I$40</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6E07-48A8-9F95-3C53FFC2C622}"/>
            </c:ext>
          </c:extLst>
        </c:ser>
        <c:dLbls>
          <c:showLegendKey val="0"/>
          <c:showVal val="0"/>
          <c:showCatName val="0"/>
          <c:showSerName val="0"/>
          <c:showPercent val="0"/>
          <c:showBubbleSize val="0"/>
        </c:dLbls>
        <c:marker val="1"/>
        <c:smooth val="0"/>
        <c:axId val="1925143264"/>
        <c:axId val="1925142304"/>
      </c:lineChart>
      <c:catAx>
        <c:axId val="192518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5195584"/>
        <c:crosses val="autoZero"/>
        <c:auto val="1"/>
        <c:lblAlgn val="ctr"/>
        <c:lblOffset val="100"/>
        <c:noMultiLvlLbl val="0"/>
      </c:catAx>
      <c:valAx>
        <c:axId val="192519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5180704"/>
        <c:crosses val="autoZero"/>
        <c:crossBetween val="between"/>
      </c:valAx>
      <c:valAx>
        <c:axId val="1925142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25143264"/>
        <c:crosses val="max"/>
        <c:crossBetween val="between"/>
      </c:valAx>
      <c:catAx>
        <c:axId val="1925143264"/>
        <c:scaling>
          <c:orientation val="minMax"/>
        </c:scaling>
        <c:delete val="1"/>
        <c:axPos val="b"/>
        <c:numFmt formatCode="General" sourceLinked="1"/>
        <c:majorTickMark val="out"/>
        <c:minorTickMark val="none"/>
        <c:tickLblPos val="nextTo"/>
        <c:crossAx val="19251423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noFill/>
    <a:ln w="9525" cap="flat" cmpd="sng" algn="ctr">
      <a:no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9524</xdr:colOff>
      <xdr:row>0</xdr:row>
      <xdr:rowOff>184040</xdr:rowOff>
    </xdr:from>
    <xdr:to>
      <xdr:col>11</xdr:col>
      <xdr:colOff>19049</xdr:colOff>
      <xdr:row>3</xdr:row>
      <xdr:rowOff>196960</xdr:rowOff>
    </xdr:to>
    <xdr:sp macro="" textlink="">
      <xdr:nvSpPr>
        <xdr:cNvPr id="2" name="Rectangle 1">
          <a:extLst>
            <a:ext uri="{FF2B5EF4-FFF2-40B4-BE49-F238E27FC236}">
              <a16:creationId xmlns:a16="http://schemas.microsoft.com/office/drawing/2014/main" id="{9E763346-8A2E-068E-6C50-DE6877CE4258}"/>
            </a:ext>
          </a:extLst>
        </xdr:cNvPr>
        <xdr:cNvSpPr/>
      </xdr:nvSpPr>
      <xdr:spPr>
        <a:xfrm>
          <a:off x="2562224" y="184040"/>
          <a:ext cx="6753225" cy="612995"/>
        </a:xfrm>
        <a:prstGeom prst="rect">
          <a:avLst/>
        </a:prstGeom>
        <a:solidFill>
          <a:srgbClr val="073673"/>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solidFill>
                <a:schemeClr val="bg1"/>
              </a:solidFill>
            </a:rPr>
            <a:t>Sprite Retailer USA Dashboard</a:t>
          </a:r>
        </a:p>
        <a:p>
          <a:pPr algn="l"/>
          <a:r>
            <a:rPr lang="en-US" sz="1050" b="0" i="1" baseline="0">
              <a:solidFill>
                <a:schemeClr val="bg1"/>
              </a:solidFill>
            </a:rPr>
            <a:t>Figures in USA</a:t>
          </a:r>
          <a:endParaRPr lang="id-ID" sz="1000" b="0" i="1">
            <a:solidFill>
              <a:schemeClr val="bg1"/>
            </a:solidFill>
          </a:endParaRPr>
        </a:p>
      </xdr:txBody>
    </xdr:sp>
    <xdr:clientData/>
  </xdr:twoCellAnchor>
  <xdr:twoCellAnchor>
    <xdr:from>
      <xdr:col>2</xdr:col>
      <xdr:colOff>9526</xdr:colOff>
      <xdr:row>5</xdr:row>
      <xdr:rowOff>12590</xdr:rowOff>
    </xdr:from>
    <xdr:to>
      <xdr:col>3</xdr:col>
      <xdr:colOff>714375</xdr:colOff>
      <xdr:row>8</xdr:row>
      <xdr:rowOff>25510</xdr:rowOff>
    </xdr:to>
    <xdr:sp macro="" textlink="">
      <xdr:nvSpPr>
        <xdr:cNvPr id="3" name="Rectangle 2">
          <a:extLst>
            <a:ext uri="{FF2B5EF4-FFF2-40B4-BE49-F238E27FC236}">
              <a16:creationId xmlns:a16="http://schemas.microsoft.com/office/drawing/2014/main" id="{1076D80D-1567-7926-00BE-89BC2D8F4BA2}"/>
            </a:ext>
          </a:extLst>
        </xdr:cNvPr>
        <xdr:cNvSpPr/>
      </xdr:nvSpPr>
      <xdr:spPr>
        <a:xfrm>
          <a:off x="2562226" y="1012715"/>
          <a:ext cx="1562099" cy="612995"/>
        </a:xfrm>
        <a:prstGeom prst="rect">
          <a:avLst/>
        </a:prstGeom>
        <a:solidFill>
          <a:schemeClr val="accent5"/>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3</xdr:col>
      <xdr:colOff>828675</xdr:colOff>
      <xdr:row>5</xdr:row>
      <xdr:rowOff>3065</xdr:rowOff>
    </xdr:from>
    <xdr:to>
      <xdr:col>5</xdr:col>
      <xdr:colOff>647700</xdr:colOff>
      <xdr:row>8</xdr:row>
      <xdr:rowOff>15985</xdr:rowOff>
    </xdr:to>
    <xdr:sp macro="" textlink="">
      <xdr:nvSpPr>
        <xdr:cNvPr id="4" name="Rectangle 3">
          <a:extLst>
            <a:ext uri="{FF2B5EF4-FFF2-40B4-BE49-F238E27FC236}">
              <a16:creationId xmlns:a16="http://schemas.microsoft.com/office/drawing/2014/main" id="{BDF3EF21-F6A1-E1DC-27F0-B74511496592}"/>
            </a:ext>
          </a:extLst>
        </xdr:cNvPr>
        <xdr:cNvSpPr/>
      </xdr:nvSpPr>
      <xdr:spPr>
        <a:xfrm>
          <a:off x="4238625" y="1003190"/>
          <a:ext cx="1533525" cy="612995"/>
        </a:xfrm>
        <a:prstGeom prst="rect">
          <a:avLst/>
        </a:prstGeom>
        <a:solidFill>
          <a:schemeClr val="accent5"/>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6</xdr:col>
      <xdr:colOff>228599</xdr:colOff>
      <xdr:row>4</xdr:row>
      <xdr:rowOff>184040</xdr:rowOff>
    </xdr:from>
    <xdr:to>
      <xdr:col>8</xdr:col>
      <xdr:colOff>647700</xdr:colOff>
      <xdr:row>7</xdr:row>
      <xdr:rowOff>196960</xdr:rowOff>
    </xdr:to>
    <xdr:sp macro="" textlink="">
      <xdr:nvSpPr>
        <xdr:cNvPr id="5" name="Rectangle 4">
          <a:extLst>
            <a:ext uri="{FF2B5EF4-FFF2-40B4-BE49-F238E27FC236}">
              <a16:creationId xmlns:a16="http://schemas.microsoft.com/office/drawing/2014/main" id="{75BDBB97-6F45-AA92-2003-81EE6125D541}"/>
            </a:ext>
          </a:extLst>
        </xdr:cNvPr>
        <xdr:cNvSpPr/>
      </xdr:nvSpPr>
      <xdr:spPr>
        <a:xfrm>
          <a:off x="6019799" y="984140"/>
          <a:ext cx="1628776" cy="612995"/>
        </a:xfrm>
        <a:prstGeom prst="rect">
          <a:avLst/>
        </a:prstGeom>
        <a:solidFill>
          <a:schemeClr val="accent5"/>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xdr:from>
      <xdr:col>8</xdr:col>
      <xdr:colOff>790575</xdr:colOff>
      <xdr:row>4</xdr:row>
      <xdr:rowOff>174515</xdr:rowOff>
    </xdr:from>
    <xdr:to>
      <xdr:col>11</xdr:col>
      <xdr:colOff>9526</xdr:colOff>
      <xdr:row>7</xdr:row>
      <xdr:rowOff>187435</xdr:rowOff>
    </xdr:to>
    <xdr:sp macro="" textlink="">
      <xdr:nvSpPr>
        <xdr:cNvPr id="6" name="Rectangle 5">
          <a:extLst>
            <a:ext uri="{FF2B5EF4-FFF2-40B4-BE49-F238E27FC236}">
              <a16:creationId xmlns:a16="http://schemas.microsoft.com/office/drawing/2014/main" id="{647370E4-98BB-47EA-E2D6-D1888AA542A0}"/>
            </a:ext>
          </a:extLst>
        </xdr:cNvPr>
        <xdr:cNvSpPr/>
      </xdr:nvSpPr>
      <xdr:spPr>
        <a:xfrm>
          <a:off x="7791450" y="974615"/>
          <a:ext cx="1685926" cy="612995"/>
        </a:xfrm>
        <a:prstGeom prst="rect">
          <a:avLst/>
        </a:prstGeom>
        <a:solidFill>
          <a:schemeClr val="accent5"/>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d-ID" sz="1100"/>
        </a:p>
      </xdr:txBody>
    </xdr:sp>
    <xdr:clientData/>
  </xdr:twoCellAnchor>
  <xdr:twoCellAnchor editAs="oneCell">
    <xdr:from>
      <xdr:col>0</xdr:col>
      <xdr:colOff>0</xdr:colOff>
      <xdr:row>1</xdr:row>
      <xdr:rowOff>9525</xdr:rowOff>
    </xdr:from>
    <xdr:to>
      <xdr:col>1</xdr:col>
      <xdr:colOff>57150</xdr:colOff>
      <xdr:row>7</xdr:row>
      <xdr:rowOff>57150</xdr:rowOff>
    </xdr:to>
    <xdr:pic>
      <xdr:nvPicPr>
        <xdr:cNvPr id="8" name="Picture 7">
          <a:extLst>
            <a:ext uri="{FF2B5EF4-FFF2-40B4-BE49-F238E27FC236}">
              <a16:creationId xmlns:a16="http://schemas.microsoft.com/office/drawing/2014/main" id="{33B248EE-1187-4CB6-6180-F68E2F8AFE55}"/>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7819" b="95062" l="7759" r="92529">
                      <a14:foregroundMark x1="34195" y1="56790" x2="34195" y2="56790"/>
                      <a14:foregroundMark x1="18966" y1="32510" x2="33333" y2="48971"/>
                      <a14:foregroundMark x1="33333" y1="48971" x2="55460" y2="51029"/>
                      <a14:foregroundMark x1="55460" y1="51029" x2="76149" y2="39918"/>
                      <a14:foregroundMark x1="76149" y1="39918" x2="70115" y2="19753"/>
                      <a14:foregroundMark x1="70115" y1="19753" x2="52874" y2="32510"/>
                      <a14:foregroundMark x1="52874" y1="32510" x2="31897" y2="39095"/>
                      <a14:foregroundMark x1="31897" y1="39095" x2="19828" y2="34568"/>
                      <a14:foregroundMark x1="17529" y1="44444" x2="12356" y2="71193"/>
                      <a14:foregroundMark x1="12356" y1="71193" x2="22989" y2="89300"/>
                      <a14:foregroundMark x1="22989" y1="89300" x2="35345" y2="85597"/>
                      <a14:foregroundMark x1="26437" y1="51852" x2="35345" y2="71193"/>
                      <a14:foregroundMark x1="35345" y1="71193" x2="60057" y2="48971"/>
                      <a14:foregroundMark x1="60057" y1="48971" x2="86494" y2="35391"/>
                      <a14:foregroundMark x1="79598" y1="46914" x2="75000" y2="60494"/>
                      <a14:foregroundMark x1="84195" y1="26749" x2="88506" y2="34979"/>
                      <a14:foregroundMark x1="92816" y1="23045" x2="89655" y2="30041"/>
                      <a14:foregroundMark x1="27874" y1="62140" x2="41667" y2="50206"/>
                      <a14:foregroundMark x1="41667" y1="50206" x2="77586" y2="44856"/>
                      <a14:foregroundMark x1="57184" y1="58848" x2="27011" y2="61317"/>
                      <a14:foregroundMark x1="27011" y1="61317" x2="22701" y2="78189"/>
                      <a14:foregroundMark x1="25000" y1="68724" x2="25862" y2="44444"/>
                      <a14:foregroundMark x1="25862" y1="44444" x2="29310" y2="72016"/>
                      <a14:foregroundMark x1="32471" y1="76955" x2="35345" y2="72840"/>
                      <a14:foregroundMark x1="70402" y1="38683" x2="73276" y2="28395"/>
                      <a14:foregroundMark x1="70402" y1="44033" x2="66954" y2="56790"/>
                      <a14:foregroundMark x1="76437" y1="53086" x2="74713" y2="50206"/>
                      <a14:foregroundMark x1="60057" y1="12757" x2="71264" y2="15226"/>
                      <a14:foregroundMark x1="27874" y1="95062" x2="27874" y2="95062"/>
                      <a14:foregroundMark x1="47701" y1="63786" x2="47701" y2="63786"/>
                      <a14:foregroundMark x1="7759" y1="78189" x2="7759" y2="78189"/>
                      <a14:foregroundMark x1="92529" y1="66255" x2="92529" y2="66255"/>
                      <a14:foregroundMark x1="91092" y1="26749" x2="91092" y2="26749"/>
                      <a14:foregroundMark x1="72989" y1="7819" x2="72989" y2="7819"/>
                    </a14:backgroundRemoval>
                  </a14:imgEffect>
                </a14:imgLayer>
              </a14:imgProps>
            </a:ext>
            <a:ext uri="{28A0092B-C50C-407E-A947-70E740481C1C}">
              <a14:useLocalDpi xmlns:a14="http://schemas.microsoft.com/office/drawing/2010/main" val="0"/>
            </a:ext>
          </a:extLst>
        </a:blip>
        <a:stretch>
          <a:fillRect/>
        </a:stretch>
      </xdr:blipFill>
      <xdr:spPr>
        <a:xfrm>
          <a:off x="0" y="209550"/>
          <a:ext cx="1752600" cy="1247775"/>
        </a:xfrm>
        <a:prstGeom prst="rect">
          <a:avLst/>
        </a:prstGeom>
      </xdr:spPr>
    </xdr:pic>
    <xdr:clientData/>
  </xdr:twoCellAnchor>
  <xdr:twoCellAnchor editAs="oneCell">
    <xdr:from>
      <xdr:col>9</xdr:col>
      <xdr:colOff>295274</xdr:colOff>
      <xdr:row>1</xdr:row>
      <xdr:rowOff>12158</xdr:rowOff>
    </xdr:from>
    <xdr:to>
      <xdr:col>10</xdr:col>
      <xdr:colOff>561975</xdr:colOff>
      <xdr:row>4</xdr:row>
      <xdr:rowOff>3064</xdr:rowOff>
    </xdr:to>
    <xdr:pic>
      <xdr:nvPicPr>
        <xdr:cNvPr id="9" name="Picture 8">
          <a:extLst>
            <a:ext uri="{FF2B5EF4-FFF2-40B4-BE49-F238E27FC236}">
              <a16:creationId xmlns:a16="http://schemas.microsoft.com/office/drawing/2014/main" id="{FD850784-9008-36F8-8D6C-33735B6074F4}"/>
            </a:ext>
          </a:extLst>
        </xdr:cNvPr>
        <xdr:cNvPicPr>
          <a:picLocks noChangeAspect="1"/>
        </xdr:cNvPicPr>
      </xdr:nvPicPr>
      <xdr:blipFill>
        <a:blip xmlns:r="http://schemas.openxmlformats.org/officeDocument/2006/relationships" r:embed="rId3"/>
        <a:stretch>
          <a:fillRect/>
        </a:stretch>
      </xdr:blipFill>
      <xdr:spPr>
        <a:xfrm>
          <a:off x="8153399" y="212183"/>
          <a:ext cx="1123951" cy="590981"/>
        </a:xfrm>
        <a:prstGeom prst="rect">
          <a:avLst/>
        </a:prstGeom>
      </xdr:spPr>
    </xdr:pic>
    <xdr:clientData/>
  </xdr:twoCellAnchor>
  <xdr:twoCellAnchor>
    <xdr:from>
      <xdr:col>2</xdr:col>
      <xdr:colOff>107622</xdr:colOff>
      <xdr:row>4</xdr:row>
      <xdr:rowOff>186120</xdr:rowOff>
    </xdr:from>
    <xdr:to>
      <xdr:col>3</xdr:col>
      <xdr:colOff>669597</xdr:colOff>
      <xdr:row>8</xdr:row>
      <xdr:rowOff>29122</xdr:rowOff>
    </xdr:to>
    <xdr:sp macro="" textlink="Analyze!B5">
      <xdr:nvSpPr>
        <xdr:cNvPr id="10" name="TextBox 9">
          <a:extLst>
            <a:ext uri="{FF2B5EF4-FFF2-40B4-BE49-F238E27FC236}">
              <a16:creationId xmlns:a16="http://schemas.microsoft.com/office/drawing/2014/main" id="{2269EB02-2E8C-F61E-4D4F-3C8998452E27}"/>
            </a:ext>
          </a:extLst>
        </xdr:cNvPr>
        <xdr:cNvSpPr txBox="1"/>
      </xdr:nvSpPr>
      <xdr:spPr>
        <a:xfrm>
          <a:off x="2658570" y="974396"/>
          <a:ext cx="1415941" cy="631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chemeClr val="bg1"/>
              </a:solidFill>
              <a:latin typeface="Calibri"/>
              <a:cs typeface="Calibri"/>
            </a:rPr>
            <a:t>Total Sales</a:t>
          </a:r>
        </a:p>
        <a:p>
          <a:pPr algn="ctr"/>
          <a:fld id="{8DB6D9AE-F034-4EF2-AD6D-DB33186F2884}" type="TxLink">
            <a:rPr lang="en-US" sz="1600" b="1" i="0" u="none" strike="noStrike">
              <a:solidFill>
                <a:schemeClr val="bg1"/>
              </a:solidFill>
              <a:latin typeface="Calibri"/>
              <a:cs typeface="Calibri"/>
            </a:rPr>
            <a:t>12.016.665</a:t>
          </a:fld>
          <a:endParaRPr lang="en-US" sz="1600" b="1">
            <a:solidFill>
              <a:schemeClr val="bg1"/>
            </a:solidFill>
          </a:endParaRPr>
        </a:p>
      </xdr:txBody>
    </xdr:sp>
    <xdr:clientData/>
  </xdr:twoCellAnchor>
  <xdr:twoCellAnchor>
    <xdr:from>
      <xdr:col>4</xdr:col>
      <xdr:colOff>38100</xdr:colOff>
      <xdr:row>5</xdr:row>
      <xdr:rowOff>57150</xdr:rowOff>
    </xdr:from>
    <xdr:to>
      <xdr:col>5</xdr:col>
      <xdr:colOff>600075</xdr:colOff>
      <xdr:row>7</xdr:row>
      <xdr:rowOff>171450</xdr:rowOff>
    </xdr:to>
    <xdr:sp macro="" textlink="Analyze!C5">
      <xdr:nvSpPr>
        <xdr:cNvPr id="14" name="TextBox 13">
          <a:extLst>
            <a:ext uri="{FF2B5EF4-FFF2-40B4-BE49-F238E27FC236}">
              <a16:creationId xmlns:a16="http://schemas.microsoft.com/office/drawing/2014/main" id="{99DCDF8B-4EFF-19B8-B0AE-7E77533ADC86}"/>
            </a:ext>
          </a:extLst>
        </xdr:cNvPr>
        <xdr:cNvSpPr txBox="1"/>
      </xdr:nvSpPr>
      <xdr:spPr>
        <a:xfrm>
          <a:off x="4305300" y="1057275"/>
          <a:ext cx="1419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i="0" u="none" strike="noStrike">
              <a:solidFill>
                <a:schemeClr val="bg1"/>
              </a:solidFill>
              <a:latin typeface="Calibri"/>
              <a:cs typeface="Calibri"/>
            </a:rPr>
            <a:t>Units</a:t>
          </a:r>
          <a:r>
            <a:rPr lang="en-US" sz="1000" b="0" i="0" u="none" strike="noStrike" baseline="0">
              <a:solidFill>
                <a:schemeClr val="bg1"/>
              </a:solidFill>
              <a:latin typeface="Calibri"/>
              <a:cs typeface="Calibri"/>
            </a:rPr>
            <a:t> Sold</a:t>
          </a:r>
          <a:endParaRPr lang="en-US" sz="1000" b="0" i="0" u="none" strike="noStrike">
            <a:solidFill>
              <a:schemeClr val="bg1"/>
            </a:solidFill>
            <a:latin typeface="Calibri"/>
            <a:cs typeface="Calibri"/>
          </a:endParaRPr>
        </a:p>
        <a:p>
          <a:pPr algn="ctr"/>
          <a:fld id="{F15479EA-B59D-4AA5-B0C5-1B005ECD1C57}" type="TxLink">
            <a:rPr lang="en-US" sz="1600" b="1" i="0" u="none" strike="noStrike">
              <a:solidFill>
                <a:schemeClr val="bg1"/>
              </a:solidFill>
              <a:latin typeface="Calibri"/>
              <a:cs typeface="Calibri"/>
            </a:rPr>
            <a:t>24.788.610</a:t>
          </a:fld>
          <a:endParaRPr lang="en-US" sz="2000" b="1">
            <a:solidFill>
              <a:schemeClr val="bg1"/>
            </a:solidFill>
          </a:endParaRPr>
        </a:p>
      </xdr:txBody>
    </xdr:sp>
    <xdr:clientData/>
  </xdr:twoCellAnchor>
  <xdr:twoCellAnchor>
    <xdr:from>
      <xdr:col>6</xdr:col>
      <xdr:colOff>323850</xdr:colOff>
      <xdr:row>5</xdr:row>
      <xdr:rowOff>57150</xdr:rowOff>
    </xdr:from>
    <xdr:to>
      <xdr:col>8</xdr:col>
      <xdr:colOff>533400</xdr:colOff>
      <xdr:row>7</xdr:row>
      <xdr:rowOff>171450</xdr:rowOff>
    </xdr:to>
    <xdr:sp macro="" textlink="Analyze!D5">
      <xdr:nvSpPr>
        <xdr:cNvPr id="15" name="TextBox 14">
          <a:extLst>
            <a:ext uri="{FF2B5EF4-FFF2-40B4-BE49-F238E27FC236}">
              <a16:creationId xmlns:a16="http://schemas.microsoft.com/office/drawing/2014/main" id="{EE675811-55EB-9226-A40A-D9DDE05D13B9}"/>
            </a:ext>
          </a:extLst>
        </xdr:cNvPr>
        <xdr:cNvSpPr txBox="1"/>
      </xdr:nvSpPr>
      <xdr:spPr>
        <a:xfrm>
          <a:off x="6115050" y="1057275"/>
          <a:ext cx="1419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chemeClr val="bg1"/>
              </a:solidFill>
              <a:latin typeface="Calibri"/>
              <a:cs typeface="Calibri"/>
            </a:rPr>
            <a:t>Average Price</a:t>
          </a:r>
        </a:p>
        <a:p>
          <a:pPr algn="ctr"/>
          <a:fld id="{DC5FFF97-DB25-4A3E-B137-5E1F05ABE992}" type="TxLink">
            <a:rPr lang="en-US" sz="1400" b="1" i="0" u="none" strike="noStrike">
              <a:solidFill>
                <a:schemeClr val="bg1"/>
              </a:solidFill>
              <a:latin typeface="Calibri"/>
              <a:cs typeface="Calibri"/>
            </a:rPr>
            <a:t>$0,45</a:t>
          </a:fld>
          <a:endParaRPr lang="en-US" sz="1600" b="1" i="0" u="none" strike="noStrike">
            <a:solidFill>
              <a:schemeClr val="bg1"/>
            </a:solidFill>
            <a:latin typeface="Calibri"/>
            <a:cs typeface="Calibri"/>
          </a:endParaRPr>
        </a:p>
      </xdr:txBody>
    </xdr:sp>
    <xdr:clientData/>
  </xdr:twoCellAnchor>
  <xdr:twoCellAnchor>
    <xdr:from>
      <xdr:col>9</xdr:col>
      <xdr:colOff>19049</xdr:colOff>
      <xdr:row>4</xdr:row>
      <xdr:rowOff>200024</xdr:rowOff>
    </xdr:from>
    <xdr:to>
      <xdr:col>10</xdr:col>
      <xdr:colOff>714376</xdr:colOff>
      <xdr:row>8</xdr:row>
      <xdr:rowOff>19049</xdr:rowOff>
    </xdr:to>
    <xdr:sp macro="" textlink="Analyze!E5">
      <xdr:nvSpPr>
        <xdr:cNvPr id="16" name="TextBox 15">
          <a:extLst>
            <a:ext uri="{FF2B5EF4-FFF2-40B4-BE49-F238E27FC236}">
              <a16:creationId xmlns:a16="http://schemas.microsoft.com/office/drawing/2014/main" id="{6B9253DA-4361-6C1F-E3FB-8DFCF0D8362B}"/>
            </a:ext>
          </a:extLst>
        </xdr:cNvPr>
        <xdr:cNvSpPr txBox="1"/>
      </xdr:nvSpPr>
      <xdr:spPr>
        <a:xfrm>
          <a:off x="7877174" y="1000124"/>
          <a:ext cx="1552577"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chemeClr val="bg1"/>
              </a:solidFill>
              <a:latin typeface="Calibri"/>
              <a:cs typeface="Calibri"/>
            </a:rPr>
            <a:t>Total Operating Profit</a:t>
          </a:r>
          <a:r>
            <a:rPr lang="en-US" sz="1400" b="1" i="0" u="none" strike="noStrike" baseline="0">
              <a:solidFill>
                <a:schemeClr val="bg1"/>
              </a:solidFill>
              <a:latin typeface="Calibri"/>
              <a:cs typeface="Calibri"/>
            </a:rPr>
            <a:t> </a:t>
          </a:r>
          <a:fld id="{AA84B0B2-D961-4EAC-A0B7-3AF9DEA77635}" type="TxLink">
            <a:rPr lang="en-US" sz="1400" b="1" i="0" u="none" strike="noStrike">
              <a:solidFill>
                <a:schemeClr val="bg1"/>
              </a:solidFill>
              <a:latin typeface="Calibri"/>
              <a:cs typeface="Calibri"/>
            </a:rPr>
            <a:t>4.722.497</a:t>
          </a:fld>
          <a:endParaRPr lang="en-US" sz="1800" b="1">
            <a:solidFill>
              <a:schemeClr val="bg1"/>
            </a:solidFill>
            <a:latin typeface="+mn-lt"/>
            <a:ea typeface="+mn-ea"/>
            <a:cs typeface="+mn-cs"/>
          </a:endParaRPr>
        </a:p>
      </xdr:txBody>
    </xdr:sp>
    <xdr:clientData/>
  </xdr:twoCellAnchor>
  <xdr:twoCellAnchor>
    <xdr:from>
      <xdr:col>1</xdr:col>
      <xdr:colOff>838199</xdr:colOff>
      <xdr:row>21</xdr:row>
      <xdr:rowOff>76200</xdr:rowOff>
    </xdr:from>
    <xdr:to>
      <xdr:col>10</xdr:col>
      <xdr:colOff>723899</xdr:colOff>
      <xdr:row>35</xdr:row>
      <xdr:rowOff>19050</xdr:rowOff>
    </xdr:to>
    <xdr:graphicFrame macro="">
      <xdr:nvGraphicFramePr>
        <xdr:cNvPr id="17" name="Chart 16">
          <a:extLst>
            <a:ext uri="{FF2B5EF4-FFF2-40B4-BE49-F238E27FC236}">
              <a16:creationId xmlns:a16="http://schemas.microsoft.com/office/drawing/2014/main" id="{D8948A9A-2509-4098-90CB-E70A533B6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67985</xdr:colOff>
      <xdr:row>8</xdr:row>
      <xdr:rowOff>26312</xdr:rowOff>
    </xdr:from>
    <xdr:to>
      <xdr:col>0</xdr:col>
      <xdr:colOff>1631294</xdr:colOff>
      <xdr:row>17</xdr:row>
      <xdr:rowOff>120432</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DC5A3A74-218A-4266-A819-37EB7AA0FE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985" y="1602864"/>
              <a:ext cx="1563309" cy="186774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32845</xdr:colOff>
      <xdr:row>18</xdr:row>
      <xdr:rowOff>87586</xdr:rowOff>
    </xdr:from>
    <xdr:to>
      <xdr:col>0</xdr:col>
      <xdr:colOff>1642242</xdr:colOff>
      <xdr:row>23</xdr:row>
      <xdr:rowOff>151233</xdr:rowOff>
    </xdr:to>
    <mc:AlternateContent xmlns:mc="http://schemas.openxmlformats.org/markup-compatibility/2006">
      <mc:Choice xmlns:a14="http://schemas.microsoft.com/office/drawing/2010/main" Requires="a14">
        <xdr:graphicFrame macro="">
          <xdr:nvGraphicFramePr>
            <xdr:cNvPr id="19" name="Years (Invoice Date)">
              <a:extLst>
                <a:ext uri="{FF2B5EF4-FFF2-40B4-BE49-F238E27FC236}">
                  <a16:creationId xmlns:a16="http://schemas.microsoft.com/office/drawing/2014/main" id="{90A3D7E2-275A-4CA3-8084-470DE0F1C30C}"/>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32845" y="3634827"/>
              <a:ext cx="1609397" cy="104899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39.422085300925" createdVersion="8" refreshedVersion="8" minRefreshableVersion="3" recordCount="9648" xr:uid="{33777B12-AA7D-438C-9CA0-990B9CA8C441}">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ei"/>
          <s v="Jun"/>
          <s v="Jul"/>
          <s v="Agu"/>
          <s v="Sep"/>
          <s v="Okt"/>
          <s v="Nov"/>
          <s v="Des"/>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454441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14ABC8-AB05-4DCA-9FC5-4F974EC07CAD}" name="PivotTable4" cacheId="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B32:E41"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82D5A-0522-43AF-9BE8-2681ED591C4C}"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E28"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A7E2E3-1A39-40C9-9C4F-6073F5121114}"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E16"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2A0EA4-680C-4805-B594-D85D8D17F10B}"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0" numFmtId="168"/>
    <dataField name="Sum of Operating Profit" fld="10" baseField="0" baseItem="0" numFmtId="164"/>
  </dataFields>
  <formats count="2">
    <format dxfId="0">
      <pivotArea outline="0" collapsedLevelsAreSubtotals="1" fieldPosition="0"/>
    </format>
    <format dxfId="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4BDC1D-2E32-4B1C-BCF6-B478106DCDDE}" sourceName="Region">
  <pivotTables>
    <pivotTable tabId="5" name="PivotTable1"/>
    <pivotTable tabId="5" name="PivotTable2"/>
    <pivotTable tabId="5" name="PivotTable3"/>
    <pivotTable tabId="5" name="PivotTable4"/>
  </pivotTables>
  <data>
    <tabular pivotCacheId="145444145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C974AA6A-D69B-463E-B55A-49884E04D101}" sourceName="Years (Invoice Date)">
  <pivotTables>
    <pivotTable tabId="5" name="PivotTable1"/>
    <pivotTable tabId="5" name="PivotTable2"/>
    <pivotTable tabId="5" name="PivotTable3"/>
    <pivotTable tabId="5" name="PivotTable4"/>
  </pivotTables>
  <data>
    <tabular pivotCacheId="1454441459">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A011ED-FE32-4F0C-9C9D-196CF92A45F7}" cache="Slicer_Region" caption="Region" rowHeight="257175"/>
  <slicer name="Years (Invoice Date)" xr10:uid="{30F4D6AB-A964-4A09-AC74-91D8B34CF2B0}" cache="Slicer_Years__Invoice_Date" caption="Years (Invoice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6" dataDxfId="15" tableBorderDxfId="14">
  <autoFilter ref="B4:M9652" xr:uid="{241C6583-A395-494F-B34A-BA98EEB4132C}"/>
  <tableColumns count="12">
    <tableColumn id="1" xr3:uid="{72C602C4-76C4-4A75-933A-FDC9591C1526}" name="Retailer" dataDxfId="13"/>
    <tableColumn id="2" xr3:uid="{725FD838-82AA-427A-9CE2-6C04110A316D}" name="Retailer ID" dataDxfId="12"/>
    <tableColumn id="3" xr3:uid="{9C123582-20EA-467F-A5ED-8224D6001C00}" name="Invoice Date" dataDxfId="11"/>
    <tableColumn id="4" xr3:uid="{134DBAE7-3279-40E6-98D9-CBECFFFB85D5}" name="Region" dataDxfId="10"/>
    <tableColumn id="5" xr3:uid="{C2E2A540-5264-40E1-8C95-F5F8159FEF6D}" name="State" dataDxfId="9"/>
    <tableColumn id="6" xr3:uid="{6DD89386-635C-40C8-9606-F930BAB18D98}" name="City" dataDxfId="8"/>
    <tableColumn id="7" xr3:uid="{79044A14-8C29-4B84-AA06-8282B70BA02E}" name="Beverage Brand" dataDxfId="7"/>
    <tableColumn id="8" xr3:uid="{A75130C6-6732-4DA3-A42A-8ECCD7E66F61}" name="Price per Unit" dataDxfId="6"/>
    <tableColumn id="9" xr3:uid="{3E7FDD09-C8F4-41A0-8B3E-09F0A7E4D8AD}" name="Units Sold" dataDxfId="5"/>
    <tableColumn id="10" xr3:uid="{521D1DF4-DD00-4778-9BB1-91E31DADFF87}" name="Total Sales" dataDxfId="4"/>
    <tableColumn id="11" xr3:uid="{94400550-7002-4F21-A27B-497430EA373F}" name="Operating Profit" dataDxfId="3"/>
    <tableColumn id="12" xr3:uid="{2526BB74-C8C1-4549-9ED9-43B205AA3AC6}" name="Operating Margi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abSelected="1" topLeftCell="B5" zoomScaleNormal="100" workbookViewId="0">
      <selection activeCell="B5" sqref="B5:M9652"/>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B4:I41"/>
  <sheetViews>
    <sheetView zoomScale="89" workbookViewId="0">
      <selection activeCell="F18" sqref="F18"/>
    </sheetView>
  </sheetViews>
  <sheetFormatPr defaultColWidth="8.75" defaultRowHeight="15.75" x14ac:dyDescent="0.25"/>
  <cols>
    <col min="2" max="2" width="16.625" bestFit="1" customWidth="1"/>
    <col min="3" max="3" width="23" bestFit="1" customWidth="1"/>
    <col min="4" max="4" width="16.625" bestFit="1" customWidth="1"/>
    <col min="5" max="6" width="26.375" bestFit="1" customWidth="1"/>
    <col min="7" max="7" width="21.75" bestFit="1" customWidth="1"/>
    <col min="8" max="8" width="31.375" bestFit="1" customWidth="1"/>
    <col min="9" max="726" width="10.625" bestFit="1" customWidth="1"/>
    <col min="727" max="727" width="11.5" bestFit="1" customWidth="1"/>
  </cols>
  <sheetData>
    <row r="4" spans="2:5" x14ac:dyDescent="0.25">
      <c r="B4" t="s">
        <v>138</v>
      </c>
      <c r="C4" t="s">
        <v>139</v>
      </c>
      <c r="D4" t="s">
        <v>140</v>
      </c>
      <c r="E4" t="s">
        <v>141</v>
      </c>
    </row>
    <row r="5" spans="2:5" x14ac:dyDescent="0.25">
      <c r="B5" s="15">
        <v>12016664.999999965</v>
      </c>
      <c r="C5" s="15">
        <v>24788610</v>
      </c>
      <c r="D5" s="22">
        <v>0.45216625207296596</v>
      </c>
      <c r="E5" s="15">
        <v>4722496.7700000061</v>
      </c>
    </row>
    <row r="7" spans="2:5" x14ac:dyDescent="0.25">
      <c r="B7" t="s">
        <v>147</v>
      </c>
    </row>
    <row r="8" spans="2:5" x14ac:dyDescent="0.25">
      <c r="B8" s="16" t="s">
        <v>138</v>
      </c>
      <c r="C8" s="16" t="s">
        <v>144</v>
      </c>
    </row>
    <row r="9" spans="2:5" x14ac:dyDescent="0.25">
      <c r="B9" s="16" t="s">
        <v>142</v>
      </c>
      <c r="C9" t="s">
        <v>145</v>
      </c>
      <c r="D9" t="s">
        <v>146</v>
      </c>
      <c r="E9" t="s">
        <v>143</v>
      </c>
    </row>
    <row r="10" spans="2:5" x14ac:dyDescent="0.25">
      <c r="B10" s="17" t="s">
        <v>14</v>
      </c>
      <c r="C10" s="14">
        <v>499102.00000000017</v>
      </c>
      <c r="D10" s="14">
        <v>2268974.9000000032</v>
      </c>
      <c r="E10" s="14">
        <v>2768076.9000000032</v>
      </c>
    </row>
    <row r="11" spans="2:5" x14ac:dyDescent="0.25">
      <c r="B11" s="17" t="s">
        <v>19</v>
      </c>
      <c r="C11" s="14">
        <v>469270.69999999984</v>
      </c>
      <c r="D11" s="14">
        <v>1917827.7999999949</v>
      </c>
      <c r="E11" s="14">
        <v>2387098.4999999949</v>
      </c>
    </row>
    <row r="12" spans="2:5" x14ac:dyDescent="0.25">
      <c r="B12" s="17" t="s">
        <v>15</v>
      </c>
      <c r="C12" s="14">
        <v>423758.70000000007</v>
      </c>
      <c r="D12" s="14">
        <v>1633959.3000000005</v>
      </c>
      <c r="E12" s="14">
        <v>2057718.0000000005</v>
      </c>
    </row>
    <row r="13" spans="2:5" x14ac:dyDescent="0.25">
      <c r="B13" s="17" t="s">
        <v>17</v>
      </c>
      <c r="C13" s="14">
        <v>315489.20000000013</v>
      </c>
      <c r="D13" s="14">
        <v>1116062.9000000027</v>
      </c>
      <c r="E13" s="14">
        <v>1431552.1000000029</v>
      </c>
    </row>
    <row r="14" spans="2:5" x14ac:dyDescent="0.25">
      <c r="B14" s="17" t="s">
        <v>18</v>
      </c>
      <c r="C14" s="14">
        <v>349533.89999999997</v>
      </c>
      <c r="D14" s="14">
        <v>1302529.3000000012</v>
      </c>
      <c r="E14" s="14">
        <v>1652063.2000000011</v>
      </c>
    </row>
    <row r="15" spans="2:5" x14ac:dyDescent="0.25">
      <c r="B15" s="17" t="s">
        <v>16</v>
      </c>
      <c r="C15" s="14">
        <v>366577.99999999988</v>
      </c>
      <c r="D15" s="14">
        <v>1353578.2999999986</v>
      </c>
      <c r="E15" s="14">
        <v>1720156.2999999984</v>
      </c>
    </row>
    <row r="16" spans="2:5" x14ac:dyDescent="0.25">
      <c r="B16" s="17" t="s">
        <v>143</v>
      </c>
      <c r="C16" s="14">
        <v>2423732.5</v>
      </c>
      <c r="D16" s="14">
        <v>9592932.5000000019</v>
      </c>
      <c r="E16" s="14">
        <v>12016665.000000002</v>
      </c>
    </row>
    <row r="19" spans="2:5" x14ac:dyDescent="0.25">
      <c r="B19" s="17" t="s">
        <v>0</v>
      </c>
    </row>
    <row r="20" spans="2:5" x14ac:dyDescent="0.25">
      <c r="B20" s="16" t="s">
        <v>138</v>
      </c>
      <c r="C20" s="16" t="s">
        <v>144</v>
      </c>
    </row>
    <row r="21" spans="2:5" x14ac:dyDescent="0.25">
      <c r="B21" s="16" t="s">
        <v>142</v>
      </c>
      <c r="C21" t="s">
        <v>145</v>
      </c>
      <c r="D21" t="s">
        <v>146</v>
      </c>
      <c r="E21" t="s">
        <v>143</v>
      </c>
    </row>
    <row r="22" spans="2:5" x14ac:dyDescent="0.25">
      <c r="B22" s="17" t="s">
        <v>130</v>
      </c>
      <c r="C22" s="14">
        <v>276210</v>
      </c>
      <c r="D22" s="14">
        <v>1009698.7</v>
      </c>
      <c r="E22" s="14">
        <v>1285908.7</v>
      </c>
    </row>
    <row r="23" spans="2:5" x14ac:dyDescent="0.25">
      <c r="B23" s="17" t="s">
        <v>20</v>
      </c>
      <c r="C23" s="14">
        <v>466787.99999999994</v>
      </c>
      <c r="D23" s="14">
        <v>2327606.5000000019</v>
      </c>
      <c r="E23" s="14">
        <v>2794394.5000000019</v>
      </c>
    </row>
    <row r="24" spans="2:5" x14ac:dyDescent="0.25">
      <c r="B24" s="17" t="s">
        <v>127</v>
      </c>
      <c r="C24" s="14">
        <v>161210.1</v>
      </c>
      <c r="D24" s="14">
        <v>2262827.0999999978</v>
      </c>
      <c r="E24" s="14">
        <v>2424037.1999999979</v>
      </c>
    </row>
    <row r="25" spans="2:5" x14ac:dyDescent="0.25">
      <c r="B25" s="17" t="s">
        <v>129</v>
      </c>
      <c r="C25" s="14">
        <v>9250.3000000000011</v>
      </c>
      <c r="D25" s="14">
        <v>1341994.9999999998</v>
      </c>
      <c r="E25" s="14">
        <v>1351245.2999999998</v>
      </c>
    </row>
    <row r="26" spans="2:5" x14ac:dyDescent="0.25">
      <c r="B26" s="17" t="s">
        <v>126</v>
      </c>
      <c r="C26" s="14">
        <v>339912.5</v>
      </c>
      <c r="D26" s="14">
        <v>580211.00000000023</v>
      </c>
      <c r="E26" s="14">
        <v>920123.50000000023</v>
      </c>
    </row>
    <row r="27" spans="2:5" x14ac:dyDescent="0.25">
      <c r="B27" s="17" t="s">
        <v>128</v>
      </c>
      <c r="C27" s="14">
        <v>1170361.5999999996</v>
      </c>
      <c r="D27" s="14">
        <v>2070594.1999999993</v>
      </c>
      <c r="E27" s="14">
        <v>3240955.7999999989</v>
      </c>
    </row>
    <row r="28" spans="2:5" x14ac:dyDescent="0.25">
      <c r="B28" s="17" t="s">
        <v>143</v>
      </c>
      <c r="C28" s="14">
        <v>2423732.4999999995</v>
      </c>
      <c r="D28" s="14">
        <v>9592932.5</v>
      </c>
      <c r="E28" s="14">
        <v>12016665</v>
      </c>
    </row>
    <row r="32" spans="2:5" x14ac:dyDescent="0.25">
      <c r="B32" s="16" t="s">
        <v>153</v>
      </c>
      <c r="C32" s="16" t="s">
        <v>154</v>
      </c>
      <c r="D32" t="s">
        <v>138</v>
      </c>
      <c r="E32" t="s">
        <v>148</v>
      </c>
    </row>
    <row r="33" spans="2:9" x14ac:dyDescent="0.25">
      <c r="B33" t="s">
        <v>145</v>
      </c>
      <c r="C33" t="s">
        <v>149</v>
      </c>
      <c r="D33" s="14">
        <v>692776.09999999986</v>
      </c>
      <c r="E33" s="18">
        <v>0.40174683544303763</v>
      </c>
      <c r="F33" t="str">
        <f>B33</f>
        <v>2022</v>
      </c>
      <c r="G33" t="str">
        <f t="shared" ref="G33:H33" si="0">C33</f>
        <v>Qtr1</v>
      </c>
      <c r="H33">
        <f t="shared" si="0"/>
        <v>692776.09999999986</v>
      </c>
      <c r="I33">
        <f>E33</f>
        <v>0.40174683544303763</v>
      </c>
    </row>
    <row r="34" spans="2:9" x14ac:dyDescent="0.25">
      <c r="C34" t="s">
        <v>150</v>
      </c>
      <c r="D34" s="14">
        <v>644203.89999999932</v>
      </c>
      <c r="E34" s="18">
        <v>0.40000000000000013</v>
      </c>
      <c r="G34" t="str">
        <f t="shared" ref="G34:G41" si="1">C34</f>
        <v>Qtr2</v>
      </c>
      <c r="H34">
        <f t="shared" ref="H34:H41" si="2">D34</f>
        <v>644203.89999999932</v>
      </c>
      <c r="I34">
        <f t="shared" ref="I34:I41" si="3">E34</f>
        <v>0.40000000000000013</v>
      </c>
    </row>
    <row r="35" spans="2:9" x14ac:dyDescent="0.25">
      <c r="C35" t="s">
        <v>151</v>
      </c>
      <c r="D35" s="14">
        <v>719170.39999999979</v>
      </c>
      <c r="E35" s="18">
        <v>0.41026548672566376</v>
      </c>
      <c r="G35" t="str">
        <f t="shared" si="1"/>
        <v>Qtr3</v>
      </c>
      <c r="H35">
        <f t="shared" si="2"/>
        <v>719170.39999999979</v>
      </c>
      <c r="I35">
        <f t="shared" si="3"/>
        <v>0.41026548672566376</v>
      </c>
    </row>
    <row r="36" spans="2:9" x14ac:dyDescent="0.25">
      <c r="C36" t="s">
        <v>152</v>
      </c>
      <c r="D36" s="14">
        <v>367582.10000000015</v>
      </c>
      <c r="E36" s="18">
        <v>0.40243816254416953</v>
      </c>
      <c r="G36" t="str">
        <f t="shared" si="1"/>
        <v>Qtr4</v>
      </c>
      <c r="H36">
        <f t="shared" si="2"/>
        <v>367582.10000000015</v>
      </c>
      <c r="I36">
        <f t="shared" si="3"/>
        <v>0.40243816254416953</v>
      </c>
    </row>
    <row r="37" spans="2:9" x14ac:dyDescent="0.25">
      <c r="B37" t="s">
        <v>146</v>
      </c>
      <c r="C37" t="s">
        <v>149</v>
      </c>
      <c r="D37" s="14">
        <v>1877584.300000001</v>
      </c>
      <c r="E37" s="18">
        <v>0.41657045009784782</v>
      </c>
      <c r="F37" t="str">
        <f t="shared" ref="F34:F41" si="4">B37</f>
        <v>2023</v>
      </c>
      <c r="G37" t="str">
        <f t="shared" si="1"/>
        <v>Qtr1</v>
      </c>
      <c r="H37">
        <f t="shared" si="2"/>
        <v>1877584.300000001</v>
      </c>
      <c r="I37">
        <f t="shared" si="3"/>
        <v>0.41657045009784782</v>
      </c>
    </row>
    <row r="38" spans="2:9" x14ac:dyDescent="0.25">
      <c r="C38" t="s">
        <v>150</v>
      </c>
      <c r="D38" s="14">
        <v>2379424.800000004</v>
      </c>
      <c r="E38" s="18">
        <v>0.42755819477434692</v>
      </c>
      <c r="G38" t="str">
        <f t="shared" si="1"/>
        <v>Qtr2</v>
      </c>
      <c r="H38">
        <f t="shared" si="2"/>
        <v>2379424.800000004</v>
      </c>
      <c r="I38">
        <f t="shared" si="3"/>
        <v>0.42755819477434692</v>
      </c>
    </row>
    <row r="39" spans="2:9" x14ac:dyDescent="0.25">
      <c r="C39" t="s">
        <v>151</v>
      </c>
      <c r="D39" s="14">
        <v>2805752.5000000005</v>
      </c>
      <c r="E39" s="18">
        <v>0.4347017045454537</v>
      </c>
      <c r="G39" t="str">
        <f t="shared" si="1"/>
        <v>Qtr3</v>
      </c>
      <c r="H39">
        <f t="shared" si="2"/>
        <v>2805752.5000000005</v>
      </c>
      <c r="I39">
        <f t="shared" si="3"/>
        <v>0.4347017045454537</v>
      </c>
    </row>
    <row r="40" spans="2:9" x14ac:dyDescent="0.25">
      <c r="C40" t="s">
        <v>152</v>
      </c>
      <c r="D40" s="14">
        <v>2530170.899999999</v>
      </c>
      <c r="E40" s="18">
        <v>0.42483932853717082</v>
      </c>
      <c r="G40" t="str">
        <f t="shared" si="1"/>
        <v>Qtr4</v>
      </c>
      <c r="H40">
        <f t="shared" si="2"/>
        <v>2530170.899999999</v>
      </c>
      <c r="I40">
        <f t="shared" si="3"/>
        <v>0.42483932853717082</v>
      </c>
    </row>
    <row r="41" spans="2:9" x14ac:dyDescent="0.25">
      <c r="B41" t="s">
        <v>143</v>
      </c>
      <c r="D41" s="14">
        <v>12016664.999999991</v>
      </c>
      <c r="E41" s="18">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1:O21"/>
  <sheetViews>
    <sheetView showGridLines="0" topLeftCell="A2" zoomScale="87" zoomScaleNormal="87" workbookViewId="0">
      <selection activeCell="M17" sqref="M17"/>
    </sheetView>
  </sheetViews>
  <sheetFormatPr defaultColWidth="11.25" defaultRowHeight="15.75" x14ac:dyDescent="0.25"/>
  <cols>
    <col min="1" max="1" width="22.25" style="10" customWidth="1"/>
    <col min="6" max="6" width="9.625" bestFit="1" customWidth="1"/>
    <col min="7" max="7" width="4.625" customWidth="1"/>
    <col min="11" max="11" width="9.875" bestFit="1" customWidth="1"/>
  </cols>
  <sheetData>
    <row r="11" spans="3:11" x14ac:dyDescent="0.25">
      <c r="C11" s="11" t="s">
        <v>131</v>
      </c>
      <c r="D11" s="11"/>
      <c r="E11" s="11"/>
      <c r="F11" s="11"/>
      <c r="H11" s="11" t="s">
        <v>132</v>
      </c>
      <c r="I11" s="11"/>
      <c r="J11" s="11"/>
      <c r="K11" s="11"/>
    </row>
    <row r="12" spans="3:11" x14ac:dyDescent="0.25">
      <c r="C12" s="12" t="s">
        <v>133</v>
      </c>
      <c r="D12" s="12" t="s">
        <v>135</v>
      </c>
      <c r="E12" s="12" t="s">
        <v>134</v>
      </c>
      <c r="F12" s="12" t="s">
        <v>136</v>
      </c>
      <c r="H12" s="12" t="s">
        <v>0</v>
      </c>
      <c r="I12" s="12" t="s">
        <v>135</v>
      </c>
      <c r="J12" s="12" t="s">
        <v>134</v>
      </c>
      <c r="K12" s="12" t="s">
        <v>136</v>
      </c>
    </row>
    <row r="13" spans="3:11" x14ac:dyDescent="0.25">
      <c r="C13" t="str">
        <f>Analyze!B10</f>
        <v>Coca-Cola</v>
      </c>
      <c r="D13" s="15">
        <f>Analyze!C10</f>
        <v>499102.00000000017</v>
      </c>
      <c r="E13" s="15">
        <f>Analyze!D10</f>
        <v>2268974.9000000032</v>
      </c>
      <c r="F13" s="15">
        <f>E13-D13</f>
        <v>1769872.9000000029</v>
      </c>
      <c r="H13" t="str">
        <f>Analyze!B22</f>
        <v>Amazon</v>
      </c>
      <c r="I13" s="15">
        <f>Analyze!C22</f>
        <v>276210</v>
      </c>
      <c r="J13" s="15">
        <f>Analyze!D22</f>
        <v>1009698.7</v>
      </c>
      <c r="K13" s="15">
        <f>J13-I13</f>
        <v>733488.7</v>
      </c>
    </row>
    <row r="14" spans="3:11" x14ac:dyDescent="0.25">
      <c r="C14" t="str">
        <f>Analyze!B11</f>
        <v>Dasani Water</v>
      </c>
      <c r="D14" s="15">
        <f>Analyze!C11</f>
        <v>469270.69999999984</v>
      </c>
      <c r="E14" s="15">
        <f>Analyze!D11</f>
        <v>1917827.7999999949</v>
      </c>
      <c r="F14" s="15">
        <f t="shared" ref="F14:F19" si="0">E14-D14</f>
        <v>1448557.099999995</v>
      </c>
      <c r="H14" t="str">
        <f>Analyze!B23</f>
        <v>BevCo</v>
      </c>
      <c r="I14" s="15">
        <f>Analyze!C23</f>
        <v>466787.99999999994</v>
      </c>
      <c r="J14" s="15">
        <f>Analyze!D23</f>
        <v>2327606.5000000019</v>
      </c>
      <c r="K14" s="15">
        <f t="shared" ref="K14:K19" si="1">J14-I14</f>
        <v>1860818.5000000019</v>
      </c>
    </row>
    <row r="15" spans="3:11" x14ac:dyDescent="0.25">
      <c r="C15" t="str">
        <f>Analyze!B12</f>
        <v>Diet Coke</v>
      </c>
      <c r="D15" s="15">
        <f>Analyze!C12</f>
        <v>423758.70000000007</v>
      </c>
      <c r="E15" s="15">
        <f>Analyze!D12</f>
        <v>1633959.3000000005</v>
      </c>
      <c r="F15" s="15">
        <f t="shared" si="0"/>
        <v>1210200.6000000006</v>
      </c>
      <c r="H15" t="str">
        <f>Analyze!B24</f>
        <v>FizzyCo</v>
      </c>
      <c r="I15" s="15">
        <f>Analyze!C24</f>
        <v>161210.1</v>
      </c>
      <c r="J15" s="15">
        <f>Analyze!D24</f>
        <v>2262827.0999999978</v>
      </c>
      <c r="K15" s="15">
        <f t="shared" si="1"/>
        <v>2101616.9999999977</v>
      </c>
    </row>
    <row r="16" spans="3:11" x14ac:dyDescent="0.25">
      <c r="C16" t="str">
        <f>Analyze!B13</f>
        <v>Fanta</v>
      </c>
      <c r="D16" s="15">
        <f>Analyze!C13</f>
        <v>315489.20000000013</v>
      </c>
      <c r="E16" s="15">
        <f>Analyze!D13</f>
        <v>1116062.9000000027</v>
      </c>
      <c r="F16" s="15">
        <f t="shared" si="0"/>
        <v>800573.70000000251</v>
      </c>
      <c r="H16" t="str">
        <f>Analyze!B25</f>
        <v>Target</v>
      </c>
      <c r="I16" s="15">
        <f>Analyze!C25</f>
        <v>9250.3000000000011</v>
      </c>
      <c r="J16" s="15">
        <f>Analyze!D25</f>
        <v>1341994.9999999998</v>
      </c>
      <c r="K16" s="15">
        <f t="shared" si="1"/>
        <v>1332744.6999999997</v>
      </c>
    </row>
    <row r="17" spans="3:15" x14ac:dyDescent="0.25">
      <c r="C17" t="str">
        <f>Analyze!B14</f>
        <v>Powerade</v>
      </c>
      <c r="D17" s="15">
        <f>Analyze!C14</f>
        <v>349533.89999999997</v>
      </c>
      <c r="E17" s="15">
        <f>Analyze!D14</f>
        <v>1302529.3000000012</v>
      </c>
      <c r="F17" s="15">
        <f t="shared" si="0"/>
        <v>952995.4000000013</v>
      </c>
      <c r="H17" t="str">
        <f>Analyze!B26</f>
        <v>Walmart</v>
      </c>
      <c r="I17" s="15">
        <f>Analyze!C26</f>
        <v>339912.5</v>
      </c>
      <c r="J17" s="15">
        <f>Analyze!D26</f>
        <v>580211.00000000023</v>
      </c>
      <c r="K17" s="15">
        <f t="shared" si="1"/>
        <v>240298.50000000023</v>
      </c>
    </row>
    <row r="18" spans="3:15" x14ac:dyDescent="0.25">
      <c r="C18" t="str">
        <f>Analyze!B15</f>
        <v>Sprite</v>
      </c>
      <c r="D18" s="15">
        <f>Analyze!C15</f>
        <v>366577.99999999988</v>
      </c>
      <c r="E18" s="15">
        <f>Analyze!D15</f>
        <v>1353578.2999999986</v>
      </c>
      <c r="F18" s="15">
        <f t="shared" si="0"/>
        <v>987000.29999999877</v>
      </c>
      <c r="H18" t="str">
        <f>Analyze!B27</f>
        <v>West Soda</v>
      </c>
      <c r="I18" s="15">
        <f>Analyze!C27</f>
        <v>1170361.5999999996</v>
      </c>
      <c r="J18" s="15">
        <f>Analyze!D27</f>
        <v>2070594.1999999993</v>
      </c>
      <c r="K18" s="15">
        <f t="shared" si="1"/>
        <v>900232.59999999963</v>
      </c>
    </row>
    <row r="19" spans="3:15" x14ac:dyDescent="0.25">
      <c r="C19" s="19" t="s">
        <v>155</v>
      </c>
      <c r="D19" s="20">
        <f>SUM(D13:D18)</f>
        <v>2423732.5</v>
      </c>
      <c r="E19" s="20">
        <f>Analyze!D16</f>
        <v>9592932.5000000019</v>
      </c>
      <c r="F19" s="21">
        <f t="shared" si="0"/>
        <v>7169200.0000000019</v>
      </c>
      <c r="H19" s="19" t="s">
        <v>155</v>
      </c>
      <c r="I19" s="20">
        <f>SUM(I13:I18)</f>
        <v>2423732.4999999995</v>
      </c>
      <c r="J19" s="20">
        <f t="shared" ref="J19:K19" si="2">SUM(J13:J18)</f>
        <v>9592932.5</v>
      </c>
      <c r="K19" s="21">
        <f t="shared" si="1"/>
        <v>7169200</v>
      </c>
      <c r="O19" s="23"/>
    </row>
    <row r="21" spans="3:15" x14ac:dyDescent="0.25">
      <c r="C21" s="13" t="s">
        <v>137</v>
      </c>
      <c r="D21" s="13"/>
      <c r="E21" s="13"/>
      <c r="F21" s="13"/>
      <c r="G21" s="13"/>
      <c r="H21" s="13"/>
      <c r="I21" s="13"/>
      <c r="J21" s="13"/>
      <c r="K21" s="13"/>
    </row>
  </sheetData>
  <mergeCells count="2">
    <mergeCell ref="C11:F11"/>
    <mergeCell ref="H11:K11"/>
  </mergeCells>
  <conditionalFormatting sqref="F13:F19">
    <cfRule type="dataBar" priority="2">
      <dataBar>
        <cfvo type="min"/>
        <cfvo type="max"/>
        <color rgb="FFFF555A"/>
      </dataBar>
      <extLst>
        <ext xmlns:x14="http://schemas.microsoft.com/office/spreadsheetml/2009/9/main" uri="{B025F937-C7B1-47D3-B67F-A62EFF666E3E}">
          <x14:id>{2DC00E36-D71F-4C09-B358-0124A364D344}</x14:id>
        </ext>
      </extLst>
    </cfRule>
  </conditionalFormatting>
  <conditionalFormatting sqref="K13:K19">
    <cfRule type="dataBar" priority="1">
      <dataBar>
        <cfvo type="min"/>
        <cfvo type="max"/>
        <color rgb="FFFF555A"/>
      </dataBar>
      <extLst>
        <ext xmlns:x14="http://schemas.microsoft.com/office/spreadsheetml/2009/9/main" uri="{B025F937-C7B1-47D3-B67F-A62EFF666E3E}">
          <x14:id>{98B0212F-BF90-4353-A626-B574B7D98826}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DC00E36-D71F-4C09-B358-0124A364D344}">
            <x14:dataBar minLength="0" maxLength="100" border="1" negativeBarBorderColorSameAsPositive="0">
              <x14:cfvo type="autoMin"/>
              <x14:cfvo type="autoMax"/>
              <x14:borderColor rgb="FFFF555A"/>
              <x14:negativeFillColor rgb="FFFF0000"/>
              <x14:negativeBorderColor rgb="FFFF0000"/>
              <x14:axisColor rgb="FF000000"/>
            </x14:dataBar>
          </x14:cfRule>
          <xm:sqref>F13:F19</xm:sqref>
        </x14:conditionalFormatting>
        <x14:conditionalFormatting xmlns:xm="http://schemas.microsoft.com/office/excel/2006/main">
          <x14:cfRule type="dataBar" id="{98B0212F-BF90-4353-A626-B574B7D98826}">
            <x14:dataBar minLength="0" maxLength="100" border="1" negativeBarBorderColorSameAsPositive="0">
              <x14:cfvo type="autoMin"/>
              <x14:cfvo type="autoMax"/>
              <x14:borderColor rgb="FFFF555A"/>
              <x14:negativeFillColor rgb="FFFF0000"/>
              <x14:negativeBorderColor rgb="FFFF0000"/>
              <x14:axisColor rgb="FF000000"/>
            </x14:dataBar>
          </x14:cfRule>
          <xm:sqref>K13:K19</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revinaadhisafitri@gmail.com</cp:lastModifiedBy>
  <dcterms:created xsi:type="dcterms:W3CDTF">2023-12-18T11:08:00Z</dcterms:created>
  <dcterms:modified xsi:type="dcterms:W3CDTF">2026-04-27T05:37:08Z</dcterms:modified>
</cp:coreProperties>
</file>